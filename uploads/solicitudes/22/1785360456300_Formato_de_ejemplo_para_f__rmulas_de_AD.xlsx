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sús Abrego\Desktop\Temporal\"/>
    </mc:Choice>
  </mc:AlternateContent>
  <xr:revisionPtr revIDLastSave="0" documentId="8_{BED001F2-3663-4446-B129-0345AA927611}" xr6:coauthVersionLast="47" xr6:coauthVersionMax="47" xr10:uidLastSave="{00000000-0000-0000-0000-000000000000}"/>
  <bookViews>
    <workbookView xWindow="28680" yWindow="-120" windowWidth="29040" windowHeight="15720" xr2:uid="{40EB771D-7B87-4920-8CC3-A8911ACD7CDB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" i="2" l="1"/>
</calcChain>
</file>

<file path=xl/sharedStrings.xml><?xml version="1.0" encoding="utf-8"?>
<sst xmlns="http://schemas.openxmlformats.org/spreadsheetml/2006/main" count="88" uniqueCount="53">
  <si>
    <t>codigoCompuesto</t>
  </si>
  <si>
    <t>codigoArticulo</t>
  </si>
  <si>
    <t>descripcion</t>
  </si>
  <si>
    <t>linea</t>
  </si>
  <si>
    <t>costoUnitario</t>
  </si>
  <si>
    <t>costoInsumo</t>
  </si>
  <si>
    <t>1-416</t>
  </si>
  <si>
    <t>SAL REFINADA YODADA</t>
  </si>
  <si>
    <t>M.P</t>
  </si>
  <si>
    <t>CN-005</t>
  </si>
  <si>
    <t>SORBATO DE POTASIO PVO. S</t>
  </si>
  <si>
    <t>Z4-008</t>
  </si>
  <si>
    <t>BOLSA DE POLIETILENO DESPREND.</t>
  </si>
  <si>
    <t>A.E</t>
  </si>
  <si>
    <t>Z4-010</t>
  </si>
  <si>
    <t>BOLSA DE PAPEL LACTEOS 43X13X85 PAD</t>
  </si>
  <si>
    <t>Z4-061</t>
  </si>
  <si>
    <t>CINTURON DE SEGURIDAD DE NYLON 19 MM</t>
  </si>
  <si>
    <t>LAC-585</t>
  </si>
  <si>
    <t>1-058</t>
  </si>
  <si>
    <t>C.M.C. CARBOXIMETIL CELULOSA</t>
  </si>
  <si>
    <t>1-147</t>
  </si>
  <si>
    <t>GOMA GUAR</t>
  </si>
  <si>
    <t>1-169</t>
  </si>
  <si>
    <t>FOSFATO DISODICO ANHIDRO</t>
  </si>
  <si>
    <t>1-304</t>
  </si>
  <si>
    <t>SUERO DE LECHE NAC</t>
  </si>
  <si>
    <t>1-359</t>
  </si>
  <si>
    <t>MONOGROL</t>
  </si>
  <si>
    <t>1-360</t>
  </si>
  <si>
    <t>FABPSA MIL 34%</t>
  </si>
  <si>
    <t>1-403</t>
  </si>
  <si>
    <t>CITRATO DE SODIO F</t>
  </si>
  <si>
    <t>1-408</t>
  </si>
  <si>
    <t>FABPGEL IN-2012</t>
  </si>
  <si>
    <t>1-448</t>
  </si>
  <si>
    <t>GLUCONO DELTA LACTONA</t>
  </si>
  <si>
    <t>1-485</t>
  </si>
  <si>
    <t>CASEINA RENINA</t>
  </si>
  <si>
    <t>P.I</t>
  </si>
  <si>
    <t>1-485R</t>
  </si>
  <si>
    <t>(REPROCESO) CASEINA RENINA</t>
  </si>
  <si>
    <t>P.R</t>
  </si>
  <si>
    <t>2-206</t>
  </si>
  <si>
    <t>PERMEATO DE LECHE</t>
  </si>
  <si>
    <t>IL-009</t>
  </si>
  <si>
    <t>FABPSAL LACTEOS 3 / K</t>
  </si>
  <si>
    <t>LI-077</t>
  </si>
  <si>
    <t>ALMIDON DE MAIZ FABPSA-I</t>
  </si>
  <si>
    <t>LI-097</t>
  </si>
  <si>
    <t>CHEESEMAKER SP12</t>
  </si>
  <si>
    <t>LAC-585 UND. P/QUESO ANALOGO DE HEBRA FABPSA</t>
  </si>
  <si>
    <t>cantidadCompuesto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</si>
</sst>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2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44" fontId="2" fillId="0" borderId="0" xfId="1" applyFont="1"/>
    <xf numFmtId="0" fontId="3" fillId="0" borderId="0" xfId="0" applyFont="1" applyAlignment="1">
      <alignment horizontal="center" vertical="center"/>
    </xf>
    <xf numFmtId="0" fontId="2" fillId="0" borderId="0" xfId="1" applyNumberFormat="1" applyFont="1"/>
  </cellXfs>
  <cellStyles count="2">
    <cellStyle name="Moneda" xfId="1" builtinId="4"/>
    <cellStyle name="Normal" xfId="0" builtinId="0"/>
  </cellStyles>
  <dxfs count="17"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1143000</xdr:colOff>
      <xdr:row>0</xdr:row>
      <xdr:rowOff>9525</xdr:rowOff>
    </xdr:from>
    <xdr:to>
      <xdr:col>6</xdr:col>
      <xdr:colOff>800100</xdr:colOff>
      <xdr:row>1</xdr:row>
      <xdr:rowOff>771525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1190882-022A-4A9F-87B8-7C5BFCDA41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5450" y="9525"/>
          <a:ext cx="952500" cy="9525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70ACCB-DBA8-4C75-9342-40310527F1F3}" name="Tabla2" displayName="Tabla2" ref="A3:G24" totalsRowCount="1" headerRowDxfId="13" dataDxfId="11" totalsRowDxfId="12">
  <autoFilter ref="A3:G23" xr:uid="{D470ACCB-DBA8-4C75-9342-40310527F1F3}"/>
  <tableColumns count="7">
    <tableColumn id="1" xr3:uid="{9F4CE42E-F306-4464-886E-DC494C59277D}" name="codigoCompuesto" dataDxfId="16" totalsRowDxfId="9"/>
    <tableColumn id="2" xr3:uid="{87BAA9AE-2807-486A-A74E-249FB90B752C}" name="codigoArticulo" dataDxfId="15" totalsRowDxfId="8"/>
    <tableColumn id="3" xr3:uid="{CFF95C8A-BAE0-4A99-8D23-68D60826241D}" name="descripcion" dataDxfId="14" totalsRowDxfId="7"/>
    <tableColumn id="4" xr3:uid="{F0C6B7A4-0802-4906-8B59-A356B900C677}" name="linea" dataDxfId="2" totalsRowDxfId="6"/>
    <tableColumn id="5" xr3:uid="{8870AADC-5E94-4F24-BA07-03130D95005F}" name="cantidadCompuesto" dataDxfId="0" totalsRowDxfId="5" dataCellStyle="Moneda" totalsRowCellStyle="Moneda"/>
    <tableColumn id="6" xr3:uid="{12DAB875-1F3F-4345-87A3-2389621C1155}" name="costoUnitario" dataDxfId="1" totalsRowDxfId="4" dataCellStyle="Moneda" totalsRowCellStyle="Moneda"/>
    <tableColumn id="7" xr3:uid="{E58B5AAC-C8E6-48FF-A66E-014DB361FE43}" name="costoInsumo" totalsRowFunction="sum" dataDxfId="10" totalsRowDxfId="3" dataCellStyle="Mone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DDF4E-9566-4299-9C32-670B0CC2FE80}">
  <sheetPr>
    <pageSetUpPr fitToPage="1"/>
  </sheetPr>
  <dimension ref="A1:G24"/>
  <sheetViews>
    <sheetView tabSelected="1" workbookViewId="0">
      <selection activeCell="I2" sqref="I2"/>
    </sheetView>
  </sheetViews>
  <sheetFormatPr baseColWidth="10" defaultRowHeight="15" x14ac:dyDescent="0.25"/>
  <cols>
    <col min="1" max="1" width="19.7109375" customWidth="1"/>
    <col min="2" max="2" width="16.140625" customWidth="1"/>
    <col min="3" max="3" width="55.5703125" customWidth="1"/>
    <col min="4" max="4" width="13.7109375" customWidth="1"/>
    <col min="5" max="5" width="28.42578125" bestFit="1" customWidth="1"/>
    <col min="6" max="6" width="19.42578125" customWidth="1"/>
    <col min="7" max="7" width="18.42578125" customWidth="1"/>
  </cols>
  <sheetData>
    <row r="1" spans="1:7" ht="15" customHeight="1" x14ac:dyDescent="0.25">
      <c r="A1" s="3" t="s">
        <v>51</v>
      </c>
      <c r="B1" s="3"/>
      <c r="C1" s="3"/>
      <c r="D1" s="3"/>
      <c r="E1" s="3"/>
      <c r="F1" s="3"/>
      <c r="G1" s="3"/>
    </row>
    <row r="2" spans="1:7" ht="67.5" customHeight="1" x14ac:dyDescent="0.25">
      <c r="A2" s="3"/>
      <c r="B2" s="3"/>
      <c r="C2" s="3"/>
      <c r="D2" s="3"/>
      <c r="E2" s="3"/>
      <c r="F2" s="3"/>
      <c r="G2" s="3"/>
    </row>
    <row r="3" spans="1:7" s="1" customFormat="1" ht="18.75" x14ac:dyDescent="0.3">
      <c r="A3" s="1" t="s">
        <v>0</v>
      </c>
      <c r="B3" s="1" t="s">
        <v>1</v>
      </c>
      <c r="C3" s="1" t="s">
        <v>2</v>
      </c>
      <c r="D3" s="1" t="s">
        <v>3</v>
      </c>
      <c r="E3" s="2" t="s">
        <v>52</v>
      </c>
      <c r="F3" s="2" t="s">
        <v>4</v>
      </c>
      <c r="G3" s="1" t="s">
        <v>5</v>
      </c>
    </row>
    <row r="4" spans="1:7" s="1" customFormat="1" ht="18.75" x14ac:dyDescent="0.3">
      <c r="A4" s="1" t="s">
        <v>18</v>
      </c>
      <c r="B4" s="1" t="s">
        <v>19</v>
      </c>
      <c r="C4" s="1" t="s">
        <v>20</v>
      </c>
      <c r="D4" s="1" t="s">
        <v>8</v>
      </c>
      <c r="E4" s="4">
        <v>0.05</v>
      </c>
      <c r="F4" s="2">
        <v>100.8</v>
      </c>
      <c r="G4" s="2">
        <v>5.04</v>
      </c>
    </row>
    <row r="5" spans="1:7" s="1" customFormat="1" ht="18.75" x14ac:dyDescent="0.3">
      <c r="A5" s="1" t="s">
        <v>18</v>
      </c>
      <c r="B5" s="1" t="s">
        <v>21</v>
      </c>
      <c r="C5" s="1" t="s">
        <v>22</v>
      </c>
      <c r="D5" s="1" t="s">
        <v>8</v>
      </c>
      <c r="E5" s="4">
        <v>0.05</v>
      </c>
      <c r="F5" s="2">
        <v>54.6</v>
      </c>
      <c r="G5" s="2">
        <v>2.73</v>
      </c>
    </row>
    <row r="6" spans="1:7" s="1" customFormat="1" ht="18.75" x14ac:dyDescent="0.3">
      <c r="A6" s="1" t="s">
        <v>18</v>
      </c>
      <c r="B6" s="1" t="s">
        <v>23</v>
      </c>
      <c r="C6" s="1" t="s">
        <v>24</v>
      </c>
      <c r="D6" s="1" t="s">
        <v>8</v>
      </c>
      <c r="E6" s="4">
        <v>0.1</v>
      </c>
      <c r="F6" s="2">
        <v>77.7</v>
      </c>
      <c r="G6" s="2">
        <v>7.77</v>
      </c>
    </row>
    <row r="7" spans="1:7" s="1" customFormat="1" ht="18.75" x14ac:dyDescent="0.3">
      <c r="A7" s="1" t="s">
        <v>18</v>
      </c>
      <c r="B7" s="1" t="s">
        <v>25</v>
      </c>
      <c r="C7" s="1" t="s">
        <v>26</v>
      </c>
      <c r="D7" s="1" t="s">
        <v>8</v>
      </c>
      <c r="E7" s="4">
        <v>0.2</v>
      </c>
      <c r="F7" s="2">
        <v>32.200000000000003</v>
      </c>
      <c r="G7" s="2">
        <v>6.44</v>
      </c>
    </row>
    <row r="8" spans="1:7" s="1" customFormat="1" ht="18.75" x14ac:dyDescent="0.3">
      <c r="A8" s="1" t="s">
        <v>18</v>
      </c>
      <c r="B8" s="1" t="s">
        <v>27</v>
      </c>
      <c r="C8" s="1" t="s">
        <v>28</v>
      </c>
      <c r="D8" s="1" t="s">
        <v>8</v>
      </c>
      <c r="E8" s="4">
        <v>0.35</v>
      </c>
      <c r="F8" s="2">
        <v>78</v>
      </c>
      <c r="G8" s="2">
        <v>27.3</v>
      </c>
    </row>
    <row r="9" spans="1:7" s="1" customFormat="1" ht="18.75" x14ac:dyDescent="0.3">
      <c r="A9" s="1" t="s">
        <v>18</v>
      </c>
      <c r="B9" s="1" t="s">
        <v>29</v>
      </c>
      <c r="C9" s="1" t="s">
        <v>30</v>
      </c>
      <c r="D9" s="1" t="s">
        <v>8</v>
      </c>
      <c r="E9" s="4">
        <v>0.7</v>
      </c>
      <c r="F9" s="2">
        <v>76.650000000000006</v>
      </c>
      <c r="G9" s="2">
        <v>53.655000000000001</v>
      </c>
    </row>
    <row r="10" spans="1:7" s="1" customFormat="1" ht="18.75" x14ac:dyDescent="0.3">
      <c r="A10" s="1" t="s">
        <v>18</v>
      </c>
      <c r="B10" s="1" t="s">
        <v>31</v>
      </c>
      <c r="C10" s="1" t="s">
        <v>32</v>
      </c>
      <c r="D10" s="1" t="s">
        <v>8</v>
      </c>
      <c r="E10" s="4">
        <v>0.4</v>
      </c>
      <c r="F10" s="2">
        <v>23.52</v>
      </c>
      <c r="G10" s="2">
        <v>9.4079999999999995</v>
      </c>
    </row>
    <row r="11" spans="1:7" s="1" customFormat="1" ht="18.75" x14ac:dyDescent="0.3">
      <c r="A11" s="1" t="s">
        <v>18</v>
      </c>
      <c r="B11" s="1" t="s">
        <v>33</v>
      </c>
      <c r="C11" s="1" t="s">
        <v>34</v>
      </c>
      <c r="D11" s="1" t="s">
        <v>8</v>
      </c>
      <c r="E11" s="4">
        <v>3.5</v>
      </c>
      <c r="F11" s="2">
        <v>29.4</v>
      </c>
      <c r="G11" s="2">
        <v>102.9</v>
      </c>
    </row>
    <row r="12" spans="1:7" s="1" customFormat="1" ht="18.75" x14ac:dyDescent="0.3">
      <c r="A12" s="1" t="s">
        <v>18</v>
      </c>
      <c r="B12" s="1" t="s">
        <v>6</v>
      </c>
      <c r="C12" s="1" t="s">
        <v>7</v>
      </c>
      <c r="D12" s="1" t="s">
        <v>8</v>
      </c>
      <c r="E12" s="4">
        <v>1.5</v>
      </c>
      <c r="F12" s="2">
        <v>8.5</v>
      </c>
      <c r="G12" s="2">
        <v>12.75</v>
      </c>
    </row>
    <row r="13" spans="1:7" s="1" customFormat="1" ht="18.75" x14ac:dyDescent="0.3">
      <c r="A13" s="1" t="s">
        <v>18</v>
      </c>
      <c r="B13" s="1" t="s">
        <v>35</v>
      </c>
      <c r="C13" s="1" t="s">
        <v>36</v>
      </c>
      <c r="D13" s="1" t="s">
        <v>8</v>
      </c>
      <c r="E13" s="4">
        <v>0.05</v>
      </c>
      <c r="F13" s="2">
        <v>81.69</v>
      </c>
      <c r="G13" s="2">
        <v>4.0845000000000002</v>
      </c>
    </row>
    <row r="14" spans="1:7" s="1" customFormat="1" ht="18.75" x14ac:dyDescent="0.3">
      <c r="A14" s="1" t="s">
        <v>18</v>
      </c>
      <c r="B14" s="1" t="s">
        <v>37</v>
      </c>
      <c r="C14" s="1" t="s">
        <v>38</v>
      </c>
      <c r="D14" s="1" t="s">
        <v>39</v>
      </c>
      <c r="E14" s="4">
        <v>12</v>
      </c>
      <c r="F14" s="2">
        <v>173.25</v>
      </c>
      <c r="G14" s="2">
        <v>2079</v>
      </c>
    </row>
    <row r="15" spans="1:7" s="1" customFormat="1" ht="18.75" x14ac:dyDescent="0.3">
      <c r="A15" s="1" t="s">
        <v>18</v>
      </c>
      <c r="B15" s="1" t="s">
        <v>40</v>
      </c>
      <c r="C15" s="1" t="s">
        <v>41</v>
      </c>
      <c r="D15" s="1" t="s">
        <v>42</v>
      </c>
      <c r="E15" s="4">
        <v>3</v>
      </c>
      <c r="F15" s="2">
        <v>173.25</v>
      </c>
      <c r="G15" s="2">
        <v>519.75</v>
      </c>
    </row>
    <row r="16" spans="1:7" s="1" customFormat="1" ht="18.75" x14ac:dyDescent="0.3">
      <c r="A16" s="1" t="s">
        <v>18</v>
      </c>
      <c r="B16" s="1" t="s">
        <v>43</v>
      </c>
      <c r="C16" s="1" t="s">
        <v>44</v>
      </c>
      <c r="D16" s="1" t="s">
        <v>8</v>
      </c>
      <c r="E16" s="4">
        <v>0.3</v>
      </c>
      <c r="F16" s="2">
        <v>31.08</v>
      </c>
      <c r="G16" s="2">
        <v>9.3239999999999998</v>
      </c>
    </row>
    <row r="17" spans="1:7" s="1" customFormat="1" ht="18.75" x14ac:dyDescent="0.3">
      <c r="A17" s="1" t="s">
        <v>18</v>
      </c>
      <c r="B17" s="1" t="s">
        <v>9</v>
      </c>
      <c r="C17" s="1" t="s">
        <v>10</v>
      </c>
      <c r="D17" s="1" t="s">
        <v>8</v>
      </c>
      <c r="E17" s="4">
        <v>0.1</v>
      </c>
      <c r="F17" s="2">
        <v>67.2</v>
      </c>
      <c r="G17" s="2">
        <v>6.72</v>
      </c>
    </row>
    <row r="18" spans="1:7" s="1" customFormat="1" ht="18.75" x14ac:dyDescent="0.3">
      <c r="A18" s="1" t="s">
        <v>18</v>
      </c>
      <c r="B18" s="1" t="s">
        <v>45</v>
      </c>
      <c r="C18" s="1" t="s">
        <v>46</v>
      </c>
      <c r="D18" s="1" t="s">
        <v>8</v>
      </c>
      <c r="E18" s="4">
        <v>0.62</v>
      </c>
      <c r="F18" s="2">
        <v>125.58</v>
      </c>
      <c r="G18" s="2">
        <v>77.8596</v>
      </c>
    </row>
    <row r="19" spans="1:7" s="1" customFormat="1" ht="18.75" x14ac:dyDescent="0.3">
      <c r="A19" s="1" t="s">
        <v>18</v>
      </c>
      <c r="B19" s="1" t="s">
        <v>47</v>
      </c>
      <c r="C19" s="1" t="s">
        <v>48</v>
      </c>
      <c r="D19" s="1" t="s">
        <v>8</v>
      </c>
      <c r="E19" s="4">
        <v>2.0649999999999999</v>
      </c>
      <c r="F19" s="2">
        <v>16.59</v>
      </c>
      <c r="G19" s="2">
        <v>34.25835</v>
      </c>
    </row>
    <row r="20" spans="1:7" s="1" customFormat="1" ht="18.75" x14ac:dyDescent="0.3">
      <c r="A20" s="1" t="s">
        <v>18</v>
      </c>
      <c r="B20" s="1" t="s">
        <v>49</v>
      </c>
      <c r="C20" s="1" t="s">
        <v>50</v>
      </c>
      <c r="D20" s="1" t="s">
        <v>8</v>
      </c>
      <c r="E20" s="4">
        <v>1.4999999999999999E-2</v>
      </c>
      <c r="F20" s="2">
        <v>100.59</v>
      </c>
      <c r="G20" s="2">
        <v>1.50885</v>
      </c>
    </row>
    <row r="21" spans="1:7" s="1" customFormat="1" ht="18.75" x14ac:dyDescent="0.3">
      <c r="A21" s="1" t="s">
        <v>18</v>
      </c>
      <c r="B21" s="1" t="s">
        <v>11</v>
      </c>
      <c r="C21" s="1" t="s">
        <v>12</v>
      </c>
      <c r="D21" s="1" t="s">
        <v>13</v>
      </c>
      <c r="E21" s="4">
        <v>1</v>
      </c>
      <c r="F21" s="2">
        <v>2.64</v>
      </c>
      <c r="G21" s="2">
        <v>2.64</v>
      </c>
    </row>
    <row r="22" spans="1:7" s="1" customFormat="1" ht="18.75" x14ac:dyDescent="0.3">
      <c r="A22" s="1" t="s">
        <v>18</v>
      </c>
      <c r="B22" s="1" t="s">
        <v>14</v>
      </c>
      <c r="C22" s="1" t="s">
        <v>15</v>
      </c>
      <c r="D22" s="1" t="s">
        <v>13</v>
      </c>
      <c r="E22" s="4">
        <v>1</v>
      </c>
      <c r="F22" s="2">
        <v>19.489999999999998</v>
      </c>
      <c r="G22" s="2">
        <v>19.489999999999998</v>
      </c>
    </row>
    <row r="23" spans="1:7" s="1" customFormat="1" ht="18.75" x14ac:dyDescent="0.3">
      <c r="A23" s="1" t="s">
        <v>18</v>
      </c>
      <c r="B23" s="1" t="s">
        <v>16</v>
      </c>
      <c r="C23" s="1" t="s">
        <v>17</v>
      </c>
      <c r="D23" s="1" t="s">
        <v>13</v>
      </c>
      <c r="E23" s="4">
        <v>1</v>
      </c>
      <c r="F23" s="2">
        <v>0.35</v>
      </c>
      <c r="G23" s="2">
        <v>0.35</v>
      </c>
    </row>
    <row r="24" spans="1:7" s="1" customFormat="1" ht="18.75" x14ac:dyDescent="0.3">
      <c r="E24" s="2"/>
      <c r="F24" s="2"/>
      <c r="G24" s="1">
        <f>SUBTOTAL(109,Tabla2[costoInsumo])</f>
        <v>2982.9782999999998</v>
      </c>
    </row>
  </sheetData>
  <mergeCells count="1">
    <mergeCell ref="A1:G2"/>
  </mergeCells>
  <pageMargins left="0.70866141732283472" right="0.70866141732283472" top="0.74803149606299213" bottom="0.74803149606299213" header="0.31496062992125984" footer="0.31496062992125984"/>
  <pageSetup scale="71" orientation="landscape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Jesús Abrego</dc:creator>
  <cp:lastModifiedBy>Jesús Abrego</cp:lastModifiedBy>
  <cp:lastPrinted>2025-03-13T21:08:11Z</cp:lastPrinted>
  <dcterms:created xsi:type="dcterms:W3CDTF">2025-03-13T20:59:40Z</dcterms:created>
  <dcterms:modified xsi:type="dcterms:W3CDTF">2025-03-13T21:11:46Z</dcterms:modified>
</cp:coreProperties>
</file>